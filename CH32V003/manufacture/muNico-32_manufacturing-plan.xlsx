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SCcrasci\ardcodes_new &amp; circuits\nico\CH32V003\"/>
    </mc:Choice>
  </mc:AlternateContent>
  <xr:revisionPtr revIDLastSave="0" documentId="13_ncr:1_{ACF82D01-BFA9-4DA4-8D81-F766A0F9ACB1}" xr6:coauthVersionLast="47" xr6:coauthVersionMax="47" xr10:uidLastSave="{00000000-0000-0000-0000-000000000000}"/>
  <bookViews>
    <workbookView xWindow="-120" yWindow="-120" windowWidth="20730" windowHeight="11310" activeTab="5" xr2:uid="{05819B63-AC42-4AA0-914D-427B00614622}"/>
  </bookViews>
  <sheets>
    <sheet name="BOM-muNico" sheetId="1" r:id="rId1"/>
    <sheet name="muNico Cost split" sheetId="2" r:id="rId2"/>
    <sheet name="Cost Allocation" sheetId="4" r:id="rId3"/>
    <sheet name="Bundles " sheetId="3" r:id="rId4"/>
    <sheet name="Timeline" sheetId="5" r:id="rId5"/>
    <sheet name="differentia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D16" i="4"/>
  <c r="D17" i="4" s="1"/>
  <c r="Y14" i="3"/>
  <c r="E10" i="3"/>
  <c r="J10" i="3"/>
  <c r="O10" i="3"/>
  <c r="T10" i="3"/>
  <c r="Y10" i="3"/>
  <c r="W13" i="3"/>
  <c r="R13" i="3"/>
  <c r="T14" i="3" s="1"/>
  <c r="M13" i="3"/>
  <c r="O14" i="3" s="1"/>
  <c r="H13" i="3"/>
  <c r="J14" i="3" s="1"/>
  <c r="E14" i="3"/>
  <c r="C13" i="3"/>
  <c r="C9" i="2"/>
  <c r="E9" i="2"/>
  <c r="F7" i="1"/>
  <c r="F3" i="1"/>
  <c r="F4" i="1"/>
  <c r="F5" i="1"/>
  <c r="F6" i="1"/>
  <c r="F2" i="1"/>
  <c r="E7" i="2"/>
  <c r="C4" i="2"/>
  <c r="F10" i="1" l="1"/>
  <c r="C10" i="2"/>
  <c r="C11" i="2" s="1"/>
  <c r="C14" i="2" l="1"/>
  <c r="C15" i="2"/>
</calcChain>
</file>

<file path=xl/sharedStrings.xml><?xml version="1.0" encoding="utf-8"?>
<sst xmlns="http://schemas.openxmlformats.org/spreadsheetml/2006/main" count="346" uniqueCount="229">
  <si>
    <t>Sno</t>
  </si>
  <si>
    <t>Part</t>
  </si>
  <si>
    <t>Qty</t>
  </si>
  <si>
    <t>Total</t>
  </si>
  <si>
    <t>Cost</t>
  </si>
  <si>
    <t>Item</t>
  </si>
  <si>
    <t>Cost/piece</t>
  </si>
  <si>
    <t>QTY</t>
  </si>
  <si>
    <t>Amount</t>
  </si>
  <si>
    <t>Components</t>
  </si>
  <si>
    <t>PCB</t>
  </si>
  <si>
    <t>Assembly</t>
  </si>
  <si>
    <t>ESD Cover</t>
  </si>
  <si>
    <t>Stencil</t>
  </si>
  <si>
    <t>Expected Cost</t>
  </si>
  <si>
    <t>Ch32V003</t>
  </si>
  <si>
    <t>Green LED 0603</t>
  </si>
  <si>
    <t>Resistor</t>
  </si>
  <si>
    <t>AMS1117</t>
  </si>
  <si>
    <t>Total Cost</t>
  </si>
  <si>
    <t>ressitor-usb</t>
  </si>
  <si>
    <t>TOTAL</t>
  </si>
  <si>
    <t>Per Piece</t>
  </si>
  <si>
    <t>Sticker</t>
  </si>
  <si>
    <t>NRE</t>
  </si>
  <si>
    <t>Cost to be Set</t>
  </si>
  <si>
    <t>Profit for expected %</t>
  </si>
  <si>
    <t>Profit % for set</t>
  </si>
  <si>
    <t>Cost after MarkUp</t>
  </si>
  <si>
    <t>S No</t>
  </si>
  <si>
    <t>muNico</t>
  </si>
  <si>
    <t>muNico Extender</t>
  </si>
  <si>
    <t>MRP</t>
  </si>
  <si>
    <t>WCH link E</t>
  </si>
  <si>
    <t>USD</t>
  </si>
  <si>
    <t>BUNDLE 3 (Developer)</t>
  </si>
  <si>
    <t>BUNDLE 4  (Developer +)</t>
  </si>
  <si>
    <t>BUNDLE 5 (Professional)</t>
  </si>
  <si>
    <t>Part/Service</t>
  </si>
  <si>
    <t>Cost Allocated</t>
  </si>
  <si>
    <t>1)</t>
  </si>
  <si>
    <t>Raw Parts</t>
  </si>
  <si>
    <t>2)</t>
  </si>
  <si>
    <t>PCBs muNico</t>
  </si>
  <si>
    <t>3)</t>
  </si>
  <si>
    <t>4)</t>
  </si>
  <si>
    <t>PCBs (H Extender)</t>
  </si>
  <si>
    <t>muNico Assembly</t>
  </si>
  <si>
    <t>6)</t>
  </si>
  <si>
    <t xml:space="preserve">2.5 Headers </t>
  </si>
  <si>
    <t>5)</t>
  </si>
  <si>
    <t>Packaging-ESD Covers</t>
  </si>
  <si>
    <t>7)</t>
  </si>
  <si>
    <t>Sticker/Card for muNico Pack)</t>
  </si>
  <si>
    <t>NET Cost of Manufacture</t>
  </si>
  <si>
    <t>USD $ per piece (Cost that is set. Not cost of manufacture)</t>
  </si>
  <si>
    <t>Assembly Stencil</t>
  </si>
  <si>
    <t>Note</t>
  </si>
  <si>
    <t>Packaging- Box *</t>
  </si>
  <si>
    <t>Estimated cost of manufacture for muNico boards alone</t>
  </si>
  <si>
    <t>LEGEND</t>
  </si>
  <si>
    <t>Raw Costs</t>
  </si>
  <si>
    <t>Set cost and calculations</t>
  </si>
  <si>
    <t>Cost in USD per piece including profits, etc etc</t>
  </si>
  <si>
    <t>Can Be ignored</t>
  </si>
  <si>
    <t>Important Note</t>
  </si>
  <si>
    <t>8)</t>
  </si>
  <si>
    <t>For Assembly of each muNico board</t>
  </si>
  <si>
    <t>Includes final costs for both munico boards and bundles</t>
  </si>
  <si>
    <t>9)</t>
  </si>
  <si>
    <t>10)</t>
  </si>
  <si>
    <t>11)</t>
  </si>
  <si>
    <t>BUNDLE 1 (Starter) *</t>
  </si>
  <si>
    <t>BUNDLE 2 (Hobbyist) *</t>
  </si>
  <si>
    <t xml:space="preserve">Costs are in INR unless mentioned. </t>
  </si>
  <si>
    <t>12)</t>
  </si>
  <si>
    <t>Emergency Costs</t>
  </si>
  <si>
    <t>Total in USD</t>
  </si>
  <si>
    <t>CS Share</t>
  </si>
  <si>
    <t xml:space="preserve">* Bundle 1 and 2 may not be available in crowdfunding as they are low margin for possible distribution possibilities.  In that Case, Bundle 3 Shall be renamed as Hobbyist. </t>
  </si>
  <si>
    <t>Final Cost (Incl Profits and Additionals) USD</t>
  </si>
  <si>
    <t xml:space="preserve">Final Cost (Incl Profits and Additionals) USD </t>
  </si>
  <si>
    <t xml:space="preserve">120 pieces is minimum as cost is approprably lower at said cost. </t>
  </si>
  <si>
    <t>Supplier</t>
  </si>
  <si>
    <t>Hubtronics</t>
  </si>
  <si>
    <t>Ktron</t>
  </si>
  <si>
    <t>Ktron/Kasturi Electrosales</t>
  </si>
  <si>
    <t>PCB Made locally at PCB Power, Gujarat</t>
  </si>
  <si>
    <t xml:space="preserve">Generic Point of note. </t>
  </si>
  <si>
    <t xml:space="preserve">Total Campaign cost excluding any cuts. </t>
  </si>
  <si>
    <t>Final Cost (Incl Profits and Additionals) USD**</t>
  </si>
  <si>
    <t xml:space="preserve">** This cost is assuming CS takes a cut per product. If the cut is net from the total campaign cost, caluclations will change. Or if CS takes a flat cost due to nature of campaign, cost will vary. </t>
  </si>
  <si>
    <t>13)</t>
  </si>
  <si>
    <t xml:space="preserve">120 pieces chosen for appropriate price ratio. </t>
  </si>
  <si>
    <t>Total Cost(Excluding Profits and Additionals)</t>
  </si>
  <si>
    <t xml:space="preserve">Final Cost </t>
  </si>
  <si>
    <t>Final Cost</t>
  </si>
  <si>
    <t>14)</t>
  </si>
  <si>
    <t>RoHS Compatible lead free paste</t>
  </si>
  <si>
    <t>₹2500</t>
  </si>
  <si>
    <t>Only Applicable to bundles (variable cost) Approx ₹20 per bx</t>
  </si>
  <si>
    <t>NOTE: Costs of Shipping and Customs will lower core campaign cost if handled partially/fully by Mouser</t>
  </si>
  <si>
    <t>Cost of one stencil is split across 120 devices</t>
  </si>
  <si>
    <t>Task</t>
  </si>
  <si>
    <t>Start Date</t>
  </si>
  <si>
    <t>End Date</t>
  </si>
  <si>
    <t>Deviation</t>
  </si>
  <si>
    <t>muNico Design</t>
  </si>
  <si>
    <t xml:space="preserve">1 Day Early </t>
  </si>
  <si>
    <t>Actual End Date</t>
  </si>
  <si>
    <t xml:space="preserve">2) </t>
  </si>
  <si>
    <t>muNico Prototype 1</t>
  </si>
  <si>
    <t xml:space="preserve">3) </t>
  </si>
  <si>
    <t>prototype Testing</t>
  </si>
  <si>
    <t>2 Days Early</t>
  </si>
  <si>
    <t xml:space="preserve">4) </t>
  </si>
  <si>
    <t>Firmware/Examples Development</t>
  </si>
  <si>
    <t>NaN</t>
  </si>
  <si>
    <t xml:space="preserve">5) </t>
  </si>
  <si>
    <t>Documentation</t>
  </si>
  <si>
    <t>2 Days Late Start</t>
  </si>
  <si>
    <t>First Production Run</t>
  </si>
  <si>
    <t>1 Day after campaign</t>
  </si>
  <si>
    <t>7 Days after Campaign</t>
  </si>
  <si>
    <t>Accessories Order Run</t>
  </si>
  <si>
    <t>8 Days After</t>
  </si>
  <si>
    <t>10 Days After</t>
  </si>
  <si>
    <t>Packaging Completion</t>
  </si>
  <si>
    <t>11 Days After</t>
  </si>
  <si>
    <t>15 Days After</t>
  </si>
  <si>
    <t>Shipment to Mouser</t>
  </si>
  <si>
    <t>16 Days After</t>
  </si>
  <si>
    <t>Product Shipment to CS for testing Etc</t>
  </si>
  <si>
    <t>On Time Start</t>
  </si>
  <si>
    <t>Tentative first edition publication date: 15-Jun Tentative Final Edition Publication Date: 25-Jun</t>
  </si>
  <si>
    <t>4 Separate videos going in-depth into each programming and application method shall be made</t>
  </si>
  <si>
    <t>Examples- Video Production</t>
  </si>
  <si>
    <t xml:space="preserve">All peripherals including Boxes, Covers etc that are to be ordered. </t>
  </si>
  <si>
    <t xml:space="preserve">Final Packaging of all goods in respectiove packaging to be completed. </t>
  </si>
  <si>
    <t>Design process in KiCad</t>
  </si>
  <si>
    <t xml:space="preserve">First Prototyping of Board. </t>
  </si>
  <si>
    <t>Testing of First Prototype design</t>
  </si>
  <si>
    <t xml:space="preserve">Product Shipment to CS for testing/Photogrpahy etc if necessary to be done maximum before set date. </t>
  </si>
  <si>
    <t>Final Shipment Date (Tentative)</t>
  </si>
  <si>
    <t xml:space="preserve">Tentative dates maximum by which processes must start/end. This is to accommodate around certain pre-set events. </t>
  </si>
  <si>
    <t>Cost per muNico</t>
  </si>
  <si>
    <t>CS Campaign selection</t>
  </si>
  <si>
    <t>Campaign</t>
  </si>
  <si>
    <t>Tentative date by which product must be selected by CS. Earlier the better.  This will help decide the next steps to be taken depending on decision</t>
  </si>
  <si>
    <t xml:space="preserve">Customs Clearance/White paper/Shipping  </t>
  </si>
  <si>
    <t>WCH LinkEs</t>
  </si>
  <si>
    <t>To Cover Shipping from India to US, customs and possible extra charges during export</t>
  </si>
  <si>
    <t>To obtain minimum quantity of programmers. If number required will be lesser than amount specified here, excess amount will be re-invested.</t>
  </si>
  <si>
    <t xml:space="preserve">Date by which campaign must start. To ensure timely completion </t>
  </si>
  <si>
    <t xml:space="preserve">NOTE: CE/UKCA/FCC is not considered as it is a developnment board and not a commerical device meant for daily use or anything similar. Hence its cost and additionals are not considered. </t>
  </si>
  <si>
    <t>Production/Assembly of first lot of muNicos.Includes assembly overtime</t>
  </si>
  <si>
    <t>Raw Material</t>
  </si>
  <si>
    <t>Printing of sticker</t>
  </si>
  <si>
    <t>Feature</t>
  </si>
  <si>
    <t>CH32V003 Development Board</t>
  </si>
  <si>
    <t>CH32V003 EVT</t>
  </si>
  <si>
    <t>CH32V003 core demo board</t>
  </si>
  <si>
    <t>MFR</t>
  </si>
  <si>
    <t>AtrivaTECH</t>
  </si>
  <si>
    <t>nanoDyne</t>
  </si>
  <si>
    <t>WCH</t>
  </si>
  <si>
    <t>WeAct</t>
  </si>
  <si>
    <t>Chipset</t>
  </si>
  <si>
    <t>CH32V003F4P6</t>
  </si>
  <si>
    <t>CH32V003F4U6</t>
  </si>
  <si>
    <t>USB Port</t>
  </si>
  <si>
    <t>USB A</t>
  </si>
  <si>
    <t>USB C</t>
  </si>
  <si>
    <t>Data</t>
  </si>
  <si>
    <t>Yes</t>
  </si>
  <si>
    <t xml:space="preserve">No </t>
  </si>
  <si>
    <t>Dimensions</t>
  </si>
  <si>
    <t>19*14.5mm</t>
  </si>
  <si>
    <t>16*26mm</t>
  </si>
  <si>
    <t>39*45mm</t>
  </si>
  <si>
    <t>17.78*30.48mm</t>
  </si>
  <si>
    <t>Clock</t>
  </si>
  <si>
    <t>12Mhz</t>
  </si>
  <si>
    <t>USB Host Capability</t>
  </si>
  <si>
    <t>No</t>
  </si>
  <si>
    <t>3.3V</t>
  </si>
  <si>
    <t>External Enclosure</t>
  </si>
  <si>
    <t>2Mhz (Can be Expanded)</t>
  </si>
  <si>
    <t>Custom baord specific documentation with use-cases, how-to guides and quick start guide</t>
  </si>
  <si>
    <t>Limited to GitHub and Docs provided by WCH</t>
  </si>
  <si>
    <t>No documentation</t>
  </si>
  <si>
    <t>Open Source</t>
  </si>
  <si>
    <t>Yes OSHW IN53</t>
  </si>
  <si>
    <t>No direct linking to board files</t>
  </si>
  <si>
    <t>Yes (Limited to Schematic)</t>
  </si>
  <si>
    <t>USB C (power Only)</t>
  </si>
  <si>
    <t>USB C  (power Only)</t>
  </si>
  <si>
    <t>Bootsel SW</t>
  </si>
  <si>
    <t>NOTE3: If RoHS or CE/UKCA is considered although a development board, then an additional 150USD to RoHS (via SGS) and 400,000 INR is required for UKC/CE and 500,000 INR for FCC. As per quote from SGS and TUV SUD.</t>
  </si>
  <si>
    <t>No (Development board specific guides)</t>
  </si>
  <si>
    <t>Yes (Additional)</t>
  </si>
  <si>
    <t>Link</t>
  </si>
  <si>
    <t>3.3V (V-IN Capability)</t>
  </si>
  <si>
    <t>12 Mhz</t>
  </si>
  <si>
    <t>2Mhz (No expansion)</t>
  </si>
  <si>
    <t>External Switch (programmable)</t>
  </si>
  <si>
    <t xml:space="preserve">Yes </t>
  </si>
  <si>
    <t>muNico 32 - by AtrivaTECH</t>
  </si>
  <si>
    <t>AlexanderMandera/CH32V003-USB-DevBoard: USB-capable Development Board for the CH32V003 microcontroller (github.com)</t>
  </si>
  <si>
    <t>CH32V003 Development Board Kit 32-bit general-purpose RISC-V MCU Functional application assessment (aliexpress.com)</t>
  </si>
  <si>
    <t>WeAct Studio CH32V003F4U6 RISC-V Low Power Core Demo Board - Robu.in | Indian Online Store | RC Hobby | Robotics</t>
  </si>
  <si>
    <t>ghgh</t>
  </si>
  <si>
    <t>Intended Use</t>
  </si>
  <si>
    <t>Portable Hardware hacking/USB control</t>
  </si>
  <si>
    <t>Prototyping</t>
  </si>
  <si>
    <t>Cheap prototyping</t>
  </si>
  <si>
    <t>Voltage Regulator</t>
  </si>
  <si>
    <t>DK</t>
  </si>
  <si>
    <t>120+20</t>
  </si>
  <si>
    <t>Printing on cards+stickers</t>
  </si>
  <si>
    <t>For covering any damaged parts/PCBs/IC's/ Covers/Boxes ~15%</t>
  </si>
  <si>
    <t>muNico Example Video (4) (or) split into Quick Start Guides</t>
  </si>
  <si>
    <t>Preferably Red-Tape Etc concludes before second week of July and does not extend.</t>
  </si>
  <si>
    <t xml:space="preserve">Point 10 onwards are just tentative dates. These might change depending on no of orders and more. </t>
  </si>
  <si>
    <t>NOTE: Marketing and promotional will happen parallely</t>
  </si>
  <si>
    <t>Legend</t>
  </si>
  <si>
    <t>Pros</t>
  </si>
  <si>
    <t>Not a Pros</t>
  </si>
  <si>
    <t>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</si>
</sst>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[$₹-4009]\ #,##0.00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1" fillId="10" borderId="1" xfId="0" applyFont="1" applyFill="1" applyBorder="1"/>
    <xf numFmtId="0" fontId="3" fillId="10" borderId="1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2" fillId="10" borderId="1" xfId="0" applyFont="1" applyFill="1" applyBorder="1"/>
    <xf numFmtId="0" fontId="0" fillId="9" borderId="1" xfId="0" applyFill="1" applyBorder="1" applyAlignment="1">
      <alignment wrapText="1"/>
    </xf>
    <xf numFmtId="0" fontId="0" fillId="11" borderId="1" xfId="0" applyFill="1" applyBorder="1"/>
    <xf numFmtId="0" fontId="0" fillId="0" borderId="8" xfId="0" applyBorder="1" applyAlignment="1">
      <alignment horizontal="center"/>
    </xf>
    <xf numFmtId="0" fontId="0" fillId="3" borderId="1" xfId="0" applyFill="1" applyBorder="1"/>
    <xf numFmtId="0" fontId="0" fillId="5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1" fillId="9" borderId="1" xfId="0" applyFont="1" applyFill="1" applyBorder="1"/>
    <xf numFmtId="0" fontId="0" fillId="0" borderId="1" xfId="0" applyFill="1" applyBorder="1" applyAlignment="1">
      <alignment horizontal="center"/>
    </xf>
    <xf numFmtId="9" fontId="0" fillId="0" borderId="0" xfId="0" applyNumberFormat="1"/>
    <xf numFmtId="9" fontId="0" fillId="0" borderId="1" xfId="0" applyNumberFormat="1" applyBorder="1"/>
    <xf numFmtId="0" fontId="0" fillId="0" borderId="0" xfId="0" applyFill="1" applyBorder="1" applyAlignment="1">
      <alignment wrapText="1"/>
    </xf>
    <xf numFmtId="0" fontId="0" fillId="0" borderId="0" xfId="0" applyFill="1" applyBorder="1" applyAlignment="1"/>
    <xf numFmtId="0" fontId="0" fillId="13" borderId="1" xfId="0" applyFill="1" applyBorder="1"/>
    <xf numFmtId="0" fontId="0" fillId="0" borderId="1" xfId="0" applyFill="1" applyBorder="1"/>
    <xf numFmtId="0" fontId="0" fillId="12" borderId="1" xfId="0" applyFill="1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1" fillId="9" borderId="1" xfId="0" applyNumberFormat="1" applyFon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165" fontId="0" fillId="0" borderId="0" xfId="0" applyNumberFormat="1"/>
    <xf numFmtId="0" fontId="0" fillId="15" borderId="1" xfId="0" applyFill="1" applyBorder="1"/>
    <xf numFmtId="6" fontId="0" fillId="9" borderId="1" xfId="0" applyNumberFormat="1" applyFill="1" applyBorder="1"/>
    <xf numFmtId="0" fontId="0" fillId="0" borderId="0" xfId="0" applyAlignment="1">
      <alignment wrapText="1"/>
    </xf>
    <xf numFmtId="0" fontId="0" fillId="16" borderId="1" xfId="0" applyFill="1" applyBorder="1" applyAlignment="1">
      <alignment wrapText="1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7" borderId="1" xfId="0" applyFill="1" applyBorder="1" applyAlignment="1">
      <alignment wrapText="1"/>
    </xf>
    <xf numFmtId="0" fontId="0" fillId="1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9" borderId="1" xfId="0" applyFill="1" applyBorder="1" applyAlignment="1">
      <alignment horizontal="center" wrapText="1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0" fontId="0" fillId="17" borderId="3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4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9" borderId="1" xfId="0" applyFill="1" applyBorder="1" applyAlignment="1">
      <alignment horizontal="center" wrapText="1"/>
    </xf>
    <xf numFmtId="0" fontId="0" fillId="18" borderId="1" xfId="0" applyFill="1" applyBorder="1"/>
    <xf numFmtId="0" fontId="0" fillId="5" borderId="1" xfId="0" applyFill="1" applyBorder="1" applyAlignment="1">
      <alignment wrapText="1"/>
    </xf>
    <xf numFmtId="0" fontId="0" fillId="18" borderId="1" xfId="0" applyFill="1" applyBorder="1" applyAlignment="1">
      <alignment wrapText="1"/>
    </xf>
    <xf numFmtId="0" fontId="5" fillId="0" borderId="1" xfId="1" applyBorder="1"/>
    <xf numFmtId="8" fontId="0" fillId="9" borderId="1" xfId="0" applyNumberFormat="1" applyFill="1" applyBorder="1"/>
    <xf numFmtId="0" fontId="0" fillId="15" borderId="1" xfId="0" applyFill="1" applyBorder="1" applyAlignment="1">
      <alignment wrapText="1"/>
    </xf>
    <xf numFmtId="8" fontId="0" fillId="5" borderId="1" xfId="0" applyNumberFormat="1" applyFill="1" applyBorder="1" applyAlignment="1">
      <alignment horizontal="center"/>
    </xf>
    <xf numFmtId="8" fontId="0" fillId="18" borderId="1" xfId="0" applyNumberFormat="1" applyFill="1" applyBorder="1" applyAlignment="1">
      <alignment horizontal="center"/>
    </xf>
    <xf numFmtId="8" fontId="0" fillId="9" borderId="1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19" borderId="1" xfId="0" applyFill="1" applyBorder="1" applyAlignment="1">
      <alignment horizontal="center" wrapText="1"/>
    </xf>
    <xf numFmtId="0" fontId="0" fillId="17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item/1005005269690018.html?spm=a2g0o.productlist.main.3.628d5a3cNK9ASw&amp;algo_pvid=930b49bf-fc70-48f8-b379-4d85945a0b4b&amp;algo_exp_id=930b49bf-fc70-48f8-b379-4d85945a0b4b-1&amp;pdp_npi=4%40dis%21USD%2112.90%2111.52%21%21%2112.90%2111.52%21%402102f6cb17215050698754585ecb2c%2112000034322275708%21sea%21SG%214171744163%21AB&amp;curPageLogUid=853ptxlwYS25&amp;utparam-url=scene%3Asearch%7Cquery_from%3A" TargetMode="External"/><Relationship Id="rId2" Type="http://schemas.openxmlformats.org/officeDocument/2006/relationships/hyperlink" Target="https://github.com/AlexanderMandera/CH32V003-USB-DevBoard" TargetMode="External"/><Relationship Id="rId1" Type="http://schemas.openxmlformats.org/officeDocument/2006/relationships/hyperlink" Target="https://atrivatech.com/munico-32/" TargetMode="External"/><Relationship Id="rId4" Type="http://schemas.openxmlformats.org/officeDocument/2006/relationships/hyperlink" Target="https://robu.in/product/weact-studio-ch32v003f4u6-risc-v-low-power-core-demo-boar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F6C6-A71B-44D8-9AB7-0209D362BED7}">
  <dimension ref="A1:K10"/>
  <sheetViews>
    <sheetView workbookViewId="0">
      <selection activeCell="I11" sqref="I11"/>
    </sheetView>
  </sheetViews>
  <sheetFormatPr defaultRowHeight="15" x14ac:dyDescent="0.25"/>
  <cols>
    <col min="2" max="2" width="16.7109375" style="6" customWidth="1"/>
    <col min="3" max="5" width="9.140625" style="6"/>
    <col min="6" max="6" width="13" style="6" customWidth="1"/>
    <col min="7" max="7" width="24.5703125" style="6" customWidth="1"/>
    <col min="8" max="9" width="9.140625" customWidth="1"/>
    <col min="11" max="11" width="34.5703125" customWidth="1"/>
  </cols>
  <sheetData>
    <row r="1" spans="1:1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19</v>
      </c>
      <c r="G1" s="8" t="s">
        <v>83</v>
      </c>
    </row>
    <row r="2" spans="1:11" x14ac:dyDescent="0.25">
      <c r="A2" s="7">
        <v>1</v>
      </c>
      <c r="B2" s="7" t="s">
        <v>15</v>
      </c>
      <c r="C2" s="7">
        <v>1</v>
      </c>
      <c r="D2" s="7">
        <v>120</v>
      </c>
      <c r="E2" s="7">
        <v>31.9</v>
      </c>
      <c r="F2" s="7">
        <f>PRODUCT(D2:E2)</f>
        <v>3828</v>
      </c>
      <c r="G2" s="7" t="s">
        <v>84</v>
      </c>
    </row>
    <row r="3" spans="1:11" x14ac:dyDescent="0.25">
      <c r="A3" s="7">
        <v>2</v>
      </c>
      <c r="B3" s="7" t="s">
        <v>16</v>
      </c>
      <c r="C3" s="7">
        <v>1</v>
      </c>
      <c r="D3" s="7">
        <v>120</v>
      </c>
      <c r="E3" s="7">
        <v>0.48</v>
      </c>
      <c r="F3" s="7">
        <f t="shared" ref="F3:F8" si="0">PRODUCT(D3:E3)</f>
        <v>57.599999999999994</v>
      </c>
      <c r="G3" s="7" t="s">
        <v>85</v>
      </c>
    </row>
    <row r="4" spans="1:11" x14ac:dyDescent="0.25">
      <c r="A4" s="7">
        <v>3</v>
      </c>
      <c r="B4" s="7" t="s">
        <v>17</v>
      </c>
      <c r="C4" s="7">
        <v>1</v>
      </c>
      <c r="D4" s="7">
        <v>120</v>
      </c>
      <c r="E4" s="7">
        <v>0.16</v>
      </c>
      <c r="F4" s="7">
        <f t="shared" si="0"/>
        <v>19.2</v>
      </c>
      <c r="G4" s="7" t="s">
        <v>85</v>
      </c>
    </row>
    <row r="5" spans="1:11" x14ac:dyDescent="0.25">
      <c r="A5" s="61">
        <v>4</v>
      </c>
      <c r="B5" s="61" t="s">
        <v>18</v>
      </c>
      <c r="C5" s="61">
        <v>1</v>
      </c>
      <c r="D5" s="61">
        <v>120</v>
      </c>
      <c r="E5" s="61">
        <v>2.98</v>
      </c>
      <c r="F5" s="61">
        <f t="shared" si="0"/>
        <v>357.6</v>
      </c>
      <c r="G5" s="61" t="s">
        <v>86</v>
      </c>
      <c r="J5" s="70" t="s">
        <v>74</v>
      </c>
      <c r="K5" s="70"/>
    </row>
    <row r="6" spans="1:11" x14ac:dyDescent="0.25">
      <c r="A6" s="61">
        <v>5</v>
      </c>
      <c r="B6" s="61" t="s">
        <v>20</v>
      </c>
      <c r="C6" s="61">
        <v>1</v>
      </c>
      <c r="D6" s="61">
        <v>120</v>
      </c>
      <c r="E6" s="61">
        <v>0.16</v>
      </c>
      <c r="F6" s="61">
        <f t="shared" si="0"/>
        <v>19.2</v>
      </c>
      <c r="G6" s="61" t="s">
        <v>85</v>
      </c>
    </row>
    <row r="7" spans="1:11" x14ac:dyDescent="0.25">
      <c r="A7" s="61">
        <v>6</v>
      </c>
      <c r="B7" s="61" t="s">
        <v>49</v>
      </c>
      <c r="C7" s="61">
        <v>2</v>
      </c>
      <c r="D7" s="61">
        <v>240</v>
      </c>
      <c r="E7" s="61">
        <v>5.5</v>
      </c>
      <c r="F7" s="61">
        <f t="shared" si="0"/>
        <v>1320</v>
      </c>
      <c r="G7" s="61" t="s">
        <v>85</v>
      </c>
    </row>
    <row r="8" spans="1:11" x14ac:dyDescent="0.25">
      <c r="A8" s="61">
        <v>7</v>
      </c>
      <c r="B8" s="61" t="s">
        <v>197</v>
      </c>
      <c r="C8" s="61">
        <v>1</v>
      </c>
      <c r="D8" s="61">
        <v>120</v>
      </c>
      <c r="E8" s="61">
        <v>20</v>
      </c>
      <c r="F8" s="61">
        <f t="shared" si="0"/>
        <v>2400</v>
      </c>
      <c r="G8" s="61" t="s">
        <v>217</v>
      </c>
    </row>
    <row r="9" spans="1:11" x14ac:dyDescent="0.25">
      <c r="C9" s="64" t="s">
        <v>21</v>
      </c>
      <c r="D9" s="65"/>
      <c r="E9" s="66"/>
      <c r="F9" s="29">
        <f>SUM(F2:F8)</f>
        <v>8001.5999999999995</v>
      </c>
    </row>
    <row r="10" spans="1:11" x14ac:dyDescent="0.25">
      <c r="C10" s="67" t="s">
        <v>22</v>
      </c>
      <c r="D10" s="68"/>
      <c r="E10" s="69"/>
      <c r="F10" s="7">
        <f>(F9/D2)</f>
        <v>66.679999999999993</v>
      </c>
    </row>
  </sheetData>
  <mergeCells count="3">
    <mergeCell ref="C9:E9"/>
    <mergeCell ref="C10:E10"/>
    <mergeCell ref="J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E1CE4-E652-4ADB-A003-917763127383}">
  <dimension ref="A1:K18"/>
  <sheetViews>
    <sheetView workbookViewId="0">
      <selection activeCell="C18" sqref="C18"/>
    </sheetView>
  </sheetViews>
  <sheetFormatPr defaultRowHeight="15" x14ac:dyDescent="0.25"/>
  <cols>
    <col min="2" max="2" width="22.42578125" customWidth="1"/>
    <col min="3" max="3" width="11.42578125" customWidth="1"/>
    <col min="4" max="4" width="9.140625" style="6"/>
    <col min="6" max="6" width="36.42578125" customWidth="1"/>
    <col min="8" max="8" width="16.7109375" customWidth="1"/>
    <col min="11" max="11" width="45.7109375" customWidth="1"/>
  </cols>
  <sheetData>
    <row r="1" spans="1:11" x14ac:dyDescent="0.25">
      <c r="A1" s="1"/>
      <c r="B1" s="1"/>
      <c r="C1" s="78" t="s">
        <v>145</v>
      </c>
      <c r="D1" s="78"/>
      <c r="E1" s="78"/>
      <c r="F1" s="71" t="s">
        <v>57</v>
      </c>
      <c r="G1" s="71"/>
      <c r="H1" s="71"/>
    </row>
    <row r="2" spans="1:11" x14ac:dyDescent="0.25">
      <c r="A2" s="2" t="s">
        <v>0</v>
      </c>
      <c r="B2" s="2" t="s">
        <v>5</v>
      </c>
      <c r="C2" s="3" t="s">
        <v>6</v>
      </c>
      <c r="D2" s="3" t="s">
        <v>7</v>
      </c>
      <c r="E2" s="3" t="s">
        <v>8</v>
      </c>
      <c r="F2" s="74" t="s">
        <v>82</v>
      </c>
      <c r="G2" s="74"/>
      <c r="H2" s="74"/>
    </row>
    <row r="3" spans="1:11" x14ac:dyDescent="0.25">
      <c r="A3" s="1">
        <v>1</v>
      </c>
      <c r="B3" s="1" t="s">
        <v>9</v>
      </c>
      <c r="C3" s="4">
        <v>66.680000000000007</v>
      </c>
      <c r="D3" s="11">
        <v>120</v>
      </c>
      <c r="E3" s="4">
        <v>5601.6</v>
      </c>
      <c r="F3" s="71"/>
      <c r="G3" s="71"/>
      <c r="H3" s="71"/>
    </row>
    <row r="4" spans="1:11" x14ac:dyDescent="0.25">
      <c r="A4" s="1">
        <v>2</v>
      </c>
      <c r="B4" s="1" t="s">
        <v>10</v>
      </c>
      <c r="C4" s="4">
        <f>E4/D4</f>
        <v>46.016666666666666</v>
      </c>
      <c r="D4" s="11">
        <v>120</v>
      </c>
      <c r="E4" s="4">
        <v>5522</v>
      </c>
      <c r="F4" s="79" t="s">
        <v>87</v>
      </c>
      <c r="G4" s="79"/>
      <c r="H4" s="79"/>
      <c r="J4" s="72" t="s">
        <v>60</v>
      </c>
      <c r="K4" s="73"/>
    </row>
    <row r="5" spans="1:11" x14ac:dyDescent="0.25">
      <c r="A5" s="1">
        <v>3</v>
      </c>
      <c r="B5" s="1" t="s">
        <v>11</v>
      </c>
      <c r="C5" s="4">
        <v>20</v>
      </c>
      <c r="D5" s="11">
        <v>120</v>
      </c>
      <c r="E5" s="4">
        <v>2400</v>
      </c>
      <c r="F5" s="71"/>
      <c r="G5" s="71"/>
      <c r="H5" s="71"/>
      <c r="J5" s="28"/>
      <c r="K5" s="1" t="s">
        <v>64</v>
      </c>
    </row>
    <row r="6" spans="1:11" x14ac:dyDescent="0.25">
      <c r="A6" s="1">
        <v>4</v>
      </c>
      <c r="B6" s="1" t="s">
        <v>12</v>
      </c>
      <c r="C6" s="4">
        <v>2.5</v>
      </c>
      <c r="D6" s="11">
        <v>120</v>
      </c>
      <c r="E6" s="4">
        <v>300</v>
      </c>
      <c r="F6" s="71"/>
      <c r="G6" s="71"/>
      <c r="H6" s="71"/>
      <c r="J6" s="4"/>
      <c r="K6" s="1" t="s">
        <v>61</v>
      </c>
    </row>
    <row r="7" spans="1:11" x14ac:dyDescent="0.25">
      <c r="A7" s="1">
        <v>5</v>
      </c>
      <c r="B7" s="1" t="s">
        <v>23</v>
      </c>
      <c r="C7" s="4">
        <v>5</v>
      </c>
      <c r="D7" s="11">
        <v>120</v>
      </c>
      <c r="E7" s="4">
        <f>C7*D7</f>
        <v>600</v>
      </c>
      <c r="F7" s="71"/>
      <c r="G7" s="71"/>
      <c r="H7" s="71"/>
      <c r="J7" s="20"/>
      <c r="K7" s="1" t="s">
        <v>62</v>
      </c>
    </row>
    <row r="8" spans="1:11" x14ac:dyDescent="0.25">
      <c r="A8" s="1">
        <v>6</v>
      </c>
      <c r="B8" s="1" t="s">
        <v>13</v>
      </c>
      <c r="C8" s="4">
        <v>10</v>
      </c>
      <c r="D8" s="11">
        <v>120</v>
      </c>
      <c r="E8" s="4">
        <v>1200</v>
      </c>
      <c r="F8" s="74" t="s">
        <v>102</v>
      </c>
      <c r="G8" s="74"/>
      <c r="H8" s="74"/>
      <c r="J8" s="19"/>
      <c r="K8" s="1" t="s">
        <v>63</v>
      </c>
    </row>
    <row r="9" spans="1:11" x14ac:dyDescent="0.25">
      <c r="A9" s="1"/>
      <c r="B9" s="1" t="s">
        <v>4</v>
      </c>
      <c r="C9" s="9">
        <f>SUM(C3:C8)</f>
        <v>150.19666666666666</v>
      </c>
      <c r="D9" s="10"/>
      <c r="E9" s="5">
        <f>SUM(E3:E8)</f>
        <v>15623.6</v>
      </c>
      <c r="F9" s="75" t="s">
        <v>59</v>
      </c>
      <c r="G9" s="76"/>
      <c r="H9" s="77"/>
      <c r="J9" s="30"/>
      <c r="K9" s="1" t="s">
        <v>65</v>
      </c>
    </row>
    <row r="10" spans="1:11" x14ac:dyDescent="0.25">
      <c r="A10" s="1"/>
      <c r="B10" s="1" t="s">
        <v>24</v>
      </c>
      <c r="C10" s="9">
        <f>0.02*C9</f>
        <v>3.0039333333333333</v>
      </c>
      <c r="D10" s="10"/>
      <c r="E10" s="5"/>
      <c r="F10" s="71"/>
      <c r="G10" s="71"/>
      <c r="H10" s="71"/>
      <c r="J10" s="41"/>
      <c r="K10" s="42" t="s">
        <v>88</v>
      </c>
    </row>
    <row r="11" spans="1:11" x14ac:dyDescent="0.25">
      <c r="A11" s="1"/>
      <c r="B11" s="1" t="s">
        <v>54</v>
      </c>
      <c r="C11" s="5">
        <f>C10+C9</f>
        <v>153.20059999999998</v>
      </c>
      <c r="D11" s="10"/>
      <c r="E11" s="5"/>
      <c r="F11" s="71"/>
      <c r="G11" s="71"/>
      <c r="H11" s="71"/>
      <c r="J11" s="70" t="s">
        <v>74</v>
      </c>
      <c r="K11" s="70"/>
    </row>
    <row r="12" spans="1:11" x14ac:dyDescent="0.25">
      <c r="A12" s="1"/>
      <c r="B12" s="28" t="s">
        <v>14</v>
      </c>
      <c r="C12" s="28">
        <v>220</v>
      </c>
      <c r="D12" s="21"/>
      <c r="E12" s="20"/>
      <c r="F12" s="71"/>
      <c r="G12" s="71"/>
      <c r="H12" s="71"/>
    </row>
    <row r="13" spans="1:11" x14ac:dyDescent="0.25">
      <c r="A13" s="1"/>
      <c r="B13" s="26" t="s">
        <v>25</v>
      </c>
      <c r="C13" s="22">
        <v>335</v>
      </c>
      <c r="D13" s="21"/>
      <c r="E13" s="20"/>
      <c r="F13" s="71"/>
      <c r="G13" s="71"/>
      <c r="H13" s="71"/>
    </row>
    <row r="14" spans="1:11" x14ac:dyDescent="0.25">
      <c r="A14" s="1"/>
      <c r="B14" s="26" t="s">
        <v>27</v>
      </c>
      <c r="C14" s="22">
        <f>((C13-C11)/C11)*100</f>
        <v>118.66755091037507</v>
      </c>
      <c r="D14" s="21"/>
      <c r="E14" s="20"/>
      <c r="F14" s="71"/>
      <c r="G14" s="71"/>
      <c r="H14" s="71"/>
    </row>
    <row r="15" spans="1:11" x14ac:dyDescent="0.25">
      <c r="A15" s="1"/>
      <c r="B15" s="28" t="s">
        <v>26</v>
      </c>
      <c r="C15" s="28">
        <f>((C12-C11)/C11)*100</f>
        <v>43.602570747111976</v>
      </c>
      <c r="D15" s="21"/>
      <c r="E15" s="20"/>
      <c r="F15" s="71"/>
      <c r="G15" s="71"/>
      <c r="H15" s="71"/>
    </row>
    <row r="16" spans="1:11" x14ac:dyDescent="0.25">
      <c r="A16" s="1"/>
      <c r="B16" s="23" t="s">
        <v>28</v>
      </c>
      <c r="C16" s="23">
        <v>291.11</v>
      </c>
      <c r="D16" s="21"/>
      <c r="E16" s="20"/>
      <c r="F16" s="71"/>
      <c r="G16" s="71"/>
      <c r="H16" s="71"/>
    </row>
    <row r="17" spans="1:8" ht="45" x14ac:dyDescent="0.25">
      <c r="A17" s="1"/>
      <c r="B17" s="27" t="s">
        <v>55</v>
      </c>
      <c r="C17" s="112">
        <v>4.03</v>
      </c>
      <c r="D17" s="21"/>
      <c r="E17" s="20"/>
      <c r="F17" s="71"/>
      <c r="G17" s="71"/>
      <c r="H17" s="71"/>
    </row>
    <row r="18" spans="1:8" x14ac:dyDescent="0.25">
      <c r="A18" s="24"/>
      <c r="B18" s="24"/>
      <c r="C18" s="24"/>
      <c r="D18" s="25"/>
      <c r="E18" s="24"/>
    </row>
  </sheetData>
  <mergeCells count="20">
    <mergeCell ref="C1:E1"/>
    <mergeCell ref="F1:H1"/>
    <mergeCell ref="F2:H2"/>
    <mergeCell ref="F3:H3"/>
    <mergeCell ref="F4:H4"/>
    <mergeCell ref="F15:H15"/>
    <mergeCell ref="F16:H16"/>
    <mergeCell ref="F17:H17"/>
    <mergeCell ref="J4:K4"/>
    <mergeCell ref="J11:K11"/>
    <mergeCell ref="F5:H5"/>
    <mergeCell ref="F6:H6"/>
    <mergeCell ref="F7:H7"/>
    <mergeCell ref="F8:H8"/>
    <mergeCell ref="F10:H10"/>
    <mergeCell ref="F11:H11"/>
    <mergeCell ref="F12:H12"/>
    <mergeCell ref="F13:H13"/>
    <mergeCell ref="F14:H14"/>
    <mergeCell ref="F9:H9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7117-53C4-46A4-807D-576B396D1EDB}">
  <dimension ref="A2:I20"/>
  <sheetViews>
    <sheetView workbookViewId="0">
      <selection activeCell="E13" sqref="E13"/>
    </sheetView>
  </sheetViews>
  <sheetFormatPr defaultRowHeight="15" x14ac:dyDescent="0.25"/>
  <cols>
    <col min="2" max="2" width="42.85546875" customWidth="1"/>
    <col min="3" max="3" width="19.140625" customWidth="1"/>
    <col min="4" max="4" width="12" bestFit="1" customWidth="1"/>
    <col min="6" max="6" width="77.85546875" customWidth="1"/>
    <col min="8" max="8" width="26.85546875" customWidth="1"/>
  </cols>
  <sheetData>
    <row r="2" spans="1:9" x14ac:dyDescent="0.25">
      <c r="A2" s="16" t="s">
        <v>29</v>
      </c>
      <c r="B2" s="16" t="s">
        <v>38</v>
      </c>
      <c r="C2" s="16" t="s">
        <v>39</v>
      </c>
      <c r="D2" s="16" t="s">
        <v>3</v>
      </c>
      <c r="E2" s="16" t="s">
        <v>7</v>
      </c>
      <c r="F2" s="16" t="s">
        <v>57</v>
      </c>
    </row>
    <row r="3" spans="1:9" x14ac:dyDescent="0.25">
      <c r="A3" s="7" t="s">
        <v>40</v>
      </c>
      <c r="B3" s="7" t="s">
        <v>41</v>
      </c>
      <c r="C3" s="46">
        <v>8002</v>
      </c>
      <c r="D3" s="46">
        <v>8002</v>
      </c>
      <c r="E3" s="7">
        <v>120</v>
      </c>
      <c r="F3" s="45" t="s">
        <v>93</v>
      </c>
    </row>
    <row r="4" spans="1:9" x14ac:dyDescent="0.25">
      <c r="A4" s="7" t="s">
        <v>42</v>
      </c>
      <c r="B4" s="7" t="s">
        <v>46</v>
      </c>
      <c r="C4" s="46">
        <v>4460</v>
      </c>
      <c r="D4" s="46">
        <v>4460</v>
      </c>
      <c r="E4" s="7">
        <v>60</v>
      </c>
      <c r="F4" s="7"/>
    </row>
    <row r="5" spans="1:9" x14ac:dyDescent="0.25">
      <c r="A5" s="7" t="s">
        <v>44</v>
      </c>
      <c r="B5" s="7" t="s">
        <v>43</v>
      </c>
      <c r="C5" s="46">
        <v>5522</v>
      </c>
      <c r="D5" s="46">
        <v>5522</v>
      </c>
      <c r="E5" s="7">
        <v>120</v>
      </c>
      <c r="F5" s="7"/>
    </row>
    <row r="6" spans="1:9" x14ac:dyDescent="0.25">
      <c r="A6" s="7" t="s">
        <v>45</v>
      </c>
      <c r="B6" s="7" t="s">
        <v>47</v>
      </c>
      <c r="C6" s="46">
        <v>2400</v>
      </c>
      <c r="D6" s="46">
        <v>2400</v>
      </c>
      <c r="E6" s="7">
        <v>120</v>
      </c>
      <c r="F6" s="7"/>
    </row>
    <row r="7" spans="1:9" x14ac:dyDescent="0.25">
      <c r="A7" s="7" t="s">
        <v>50</v>
      </c>
      <c r="B7" s="7" t="s">
        <v>51</v>
      </c>
      <c r="C7" s="46">
        <v>300</v>
      </c>
      <c r="D7" s="46">
        <v>300</v>
      </c>
      <c r="E7" s="7">
        <v>120</v>
      </c>
      <c r="F7" s="7"/>
      <c r="H7" s="70" t="s">
        <v>74</v>
      </c>
      <c r="I7" s="70"/>
    </row>
    <row r="8" spans="1:9" x14ac:dyDescent="0.25">
      <c r="A8" s="7" t="s">
        <v>48</v>
      </c>
      <c r="B8" s="7" t="s">
        <v>58</v>
      </c>
      <c r="C8" s="46">
        <v>1000</v>
      </c>
      <c r="D8" s="46">
        <v>1000</v>
      </c>
      <c r="E8" s="7">
        <v>50</v>
      </c>
      <c r="F8" s="12" t="s">
        <v>100</v>
      </c>
    </row>
    <row r="9" spans="1:9" x14ac:dyDescent="0.25">
      <c r="A9" s="7" t="s">
        <v>52</v>
      </c>
      <c r="B9" s="7" t="s">
        <v>53</v>
      </c>
      <c r="C9" s="46">
        <v>600</v>
      </c>
      <c r="D9" s="46">
        <v>600</v>
      </c>
      <c r="E9" s="7">
        <v>120</v>
      </c>
      <c r="F9" s="7" t="s">
        <v>156</v>
      </c>
    </row>
    <row r="10" spans="1:9" x14ac:dyDescent="0.25">
      <c r="A10" s="7" t="s">
        <v>66</v>
      </c>
      <c r="B10" s="7" t="s">
        <v>56</v>
      </c>
      <c r="C10" s="46">
        <v>1200</v>
      </c>
      <c r="D10" s="46">
        <v>1200</v>
      </c>
      <c r="E10" s="7">
        <v>1</v>
      </c>
      <c r="F10" s="12" t="s">
        <v>67</v>
      </c>
      <c r="H10" s="52"/>
    </row>
    <row r="11" spans="1:9" ht="30" x14ac:dyDescent="0.25">
      <c r="A11" s="7" t="s">
        <v>69</v>
      </c>
      <c r="B11" s="7" t="s">
        <v>150</v>
      </c>
      <c r="C11" s="46">
        <v>14000</v>
      </c>
      <c r="D11" s="46">
        <v>14000</v>
      </c>
      <c r="E11" s="7">
        <v>20</v>
      </c>
      <c r="F11" s="31" t="s">
        <v>152</v>
      </c>
    </row>
    <row r="12" spans="1:9" x14ac:dyDescent="0.25">
      <c r="A12" s="7" t="s">
        <v>70</v>
      </c>
      <c r="B12" s="7" t="s">
        <v>157</v>
      </c>
      <c r="C12" s="46">
        <v>2600</v>
      </c>
      <c r="D12" s="46">
        <v>2600</v>
      </c>
      <c r="E12" s="7" t="s">
        <v>218</v>
      </c>
      <c r="F12" s="60" t="s">
        <v>219</v>
      </c>
    </row>
    <row r="13" spans="1:9" x14ac:dyDescent="0.25">
      <c r="A13" s="7" t="s">
        <v>71</v>
      </c>
      <c r="B13" s="7" t="s">
        <v>149</v>
      </c>
      <c r="C13" s="46">
        <v>10000</v>
      </c>
      <c r="D13" s="46">
        <v>10000</v>
      </c>
      <c r="E13" s="7"/>
      <c r="F13" s="12" t="s">
        <v>151</v>
      </c>
    </row>
    <row r="14" spans="1:9" x14ac:dyDescent="0.25">
      <c r="A14" s="7" t="s">
        <v>75</v>
      </c>
      <c r="B14" s="7" t="s">
        <v>76</v>
      </c>
      <c r="C14" s="46">
        <v>8000</v>
      </c>
      <c r="D14" s="46">
        <v>8000</v>
      </c>
      <c r="E14" s="7"/>
      <c r="F14" s="12" t="s">
        <v>220</v>
      </c>
    </row>
    <row r="15" spans="1:9" x14ac:dyDescent="0.25">
      <c r="A15" s="44" t="s">
        <v>97</v>
      </c>
      <c r="B15" s="44" t="s">
        <v>98</v>
      </c>
      <c r="C15" s="46" t="s">
        <v>99</v>
      </c>
      <c r="D15" s="46">
        <v>2500</v>
      </c>
      <c r="E15" s="44"/>
      <c r="F15" s="45"/>
    </row>
    <row r="16" spans="1:9" x14ac:dyDescent="0.25">
      <c r="A16" s="36"/>
      <c r="B16" s="34" t="s">
        <v>21</v>
      </c>
      <c r="C16" s="32"/>
      <c r="D16" s="48">
        <f>SUM(D3:D15)</f>
        <v>60584</v>
      </c>
      <c r="E16" s="36"/>
      <c r="F16" s="31" t="s">
        <v>68</v>
      </c>
    </row>
    <row r="17" spans="1:6" x14ac:dyDescent="0.25">
      <c r="A17" s="1"/>
      <c r="B17" s="33" t="s">
        <v>77</v>
      </c>
      <c r="C17" s="35"/>
      <c r="D17" s="47">
        <f>D16/82</f>
        <v>738.82926829268297</v>
      </c>
      <c r="E17" s="80" t="s">
        <v>89</v>
      </c>
      <c r="F17" s="81"/>
    </row>
    <row r="18" spans="1:6" x14ac:dyDescent="0.25">
      <c r="B18" s="25"/>
      <c r="C18" s="37"/>
    </row>
    <row r="19" spans="1:6" ht="30" x14ac:dyDescent="0.25">
      <c r="D19" s="49"/>
      <c r="F19" s="53" t="s">
        <v>101</v>
      </c>
    </row>
    <row r="20" spans="1:6" ht="45" x14ac:dyDescent="0.25">
      <c r="F20" s="59" t="s">
        <v>198</v>
      </c>
    </row>
  </sheetData>
  <mergeCells count="2">
    <mergeCell ref="E17:F17"/>
    <mergeCell ref="H7:I7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F8DD-430E-4F86-AFCE-FFE5E1AC02CE}">
  <dimension ref="A1:Y26"/>
  <sheetViews>
    <sheetView zoomScale="98" zoomScaleNormal="98" workbookViewId="0">
      <selection activeCell="T16" sqref="T16"/>
    </sheetView>
  </sheetViews>
  <sheetFormatPr defaultRowHeight="15" x14ac:dyDescent="0.25"/>
  <cols>
    <col min="1" max="1" width="10.42578125" customWidth="1"/>
    <col min="2" max="2" width="18.28515625" customWidth="1"/>
    <col min="6" max="6" width="10.140625" customWidth="1"/>
    <col min="7" max="7" width="19" customWidth="1"/>
    <col min="11" max="11" width="10.5703125" customWidth="1"/>
    <col min="12" max="12" width="16.5703125" customWidth="1"/>
    <col min="17" max="17" width="18" customWidth="1"/>
    <col min="22" max="22" width="22.42578125" customWidth="1"/>
  </cols>
  <sheetData>
    <row r="1" spans="1:25" x14ac:dyDescent="0.25">
      <c r="A1" s="102" t="s">
        <v>72</v>
      </c>
      <c r="B1" s="102"/>
      <c r="C1" s="102"/>
      <c r="D1" s="102"/>
      <c r="E1" s="102"/>
      <c r="F1" s="103" t="s">
        <v>73</v>
      </c>
      <c r="G1" s="103"/>
      <c r="H1" s="103"/>
      <c r="I1" s="103"/>
      <c r="J1" s="103"/>
      <c r="K1" s="78" t="s">
        <v>35</v>
      </c>
      <c r="L1" s="78"/>
      <c r="M1" s="78"/>
      <c r="N1" s="78"/>
      <c r="O1" s="78"/>
      <c r="P1" s="104" t="s">
        <v>36</v>
      </c>
      <c r="Q1" s="104"/>
      <c r="R1" s="104"/>
      <c r="S1" s="104"/>
      <c r="T1" s="104"/>
      <c r="U1" s="105" t="s">
        <v>37</v>
      </c>
      <c r="V1" s="105"/>
      <c r="W1" s="105"/>
      <c r="X1" s="105"/>
      <c r="Y1" s="105"/>
    </row>
    <row r="2" spans="1:25" x14ac:dyDescent="0.25">
      <c r="A2" s="13" t="s">
        <v>29</v>
      </c>
      <c r="B2" s="13" t="s">
        <v>1</v>
      </c>
      <c r="C2" s="13" t="s">
        <v>2</v>
      </c>
      <c r="D2" s="13" t="s">
        <v>32</v>
      </c>
      <c r="E2" s="13" t="s">
        <v>4</v>
      </c>
      <c r="F2" s="14" t="s">
        <v>29</v>
      </c>
      <c r="G2" s="14" t="s">
        <v>1</v>
      </c>
      <c r="H2" s="14" t="s">
        <v>2</v>
      </c>
      <c r="I2" s="14" t="s">
        <v>32</v>
      </c>
      <c r="J2" s="14" t="s">
        <v>4</v>
      </c>
      <c r="K2" s="15" t="s">
        <v>29</v>
      </c>
      <c r="L2" s="15" t="s">
        <v>1</v>
      </c>
      <c r="M2" s="15" t="s">
        <v>2</v>
      </c>
      <c r="N2" s="15" t="s">
        <v>32</v>
      </c>
      <c r="O2" s="15" t="s">
        <v>4</v>
      </c>
      <c r="P2" s="17" t="s">
        <v>29</v>
      </c>
      <c r="Q2" s="17" t="s">
        <v>1</v>
      </c>
      <c r="R2" s="17" t="s">
        <v>2</v>
      </c>
      <c r="S2" s="17" t="s">
        <v>32</v>
      </c>
      <c r="T2" s="17" t="s">
        <v>4</v>
      </c>
      <c r="U2" s="18" t="s">
        <v>29</v>
      </c>
      <c r="V2" s="18" t="s">
        <v>1</v>
      </c>
      <c r="W2" s="18" t="s">
        <v>2</v>
      </c>
      <c r="X2" s="18" t="s">
        <v>32</v>
      </c>
      <c r="Y2" s="18" t="s">
        <v>4</v>
      </c>
    </row>
    <row r="3" spans="1:25" x14ac:dyDescent="0.25">
      <c r="A3" s="13">
        <v>1</v>
      </c>
      <c r="B3" s="13" t="s">
        <v>30</v>
      </c>
      <c r="C3" s="13">
        <v>1</v>
      </c>
      <c r="D3" s="13">
        <v>335</v>
      </c>
      <c r="E3" s="13">
        <v>335</v>
      </c>
      <c r="F3" s="14">
        <v>1</v>
      </c>
      <c r="G3" s="14" t="s">
        <v>30</v>
      </c>
      <c r="H3" s="14">
        <v>2</v>
      </c>
      <c r="I3" s="14">
        <v>670</v>
      </c>
      <c r="J3" s="14">
        <v>670</v>
      </c>
      <c r="K3" s="15">
        <v>1</v>
      </c>
      <c r="L3" s="15" t="s">
        <v>30</v>
      </c>
      <c r="M3" s="15">
        <v>2</v>
      </c>
      <c r="N3" s="15">
        <v>670</v>
      </c>
      <c r="O3" s="15">
        <v>670</v>
      </c>
      <c r="P3" s="17">
        <v>1</v>
      </c>
      <c r="Q3" s="17" t="s">
        <v>30</v>
      </c>
      <c r="R3" s="17">
        <v>4</v>
      </c>
      <c r="S3" s="17">
        <v>1340</v>
      </c>
      <c r="T3" s="17">
        <v>1300</v>
      </c>
      <c r="U3" s="18">
        <v>1</v>
      </c>
      <c r="V3" s="18" t="s">
        <v>30</v>
      </c>
      <c r="W3" s="18">
        <v>10</v>
      </c>
      <c r="X3" s="18">
        <v>3350</v>
      </c>
      <c r="Y3" s="18">
        <v>3200</v>
      </c>
    </row>
    <row r="4" spans="1:25" x14ac:dyDescent="0.25">
      <c r="A4" s="13">
        <v>2</v>
      </c>
      <c r="B4" s="13" t="s">
        <v>31</v>
      </c>
      <c r="C4" s="13">
        <v>1</v>
      </c>
      <c r="D4" s="13">
        <v>80</v>
      </c>
      <c r="E4" s="13">
        <v>80</v>
      </c>
      <c r="F4" s="14">
        <v>2</v>
      </c>
      <c r="G4" s="14" t="s">
        <v>31</v>
      </c>
      <c r="H4" s="14">
        <v>1</v>
      </c>
      <c r="I4" s="14">
        <v>80</v>
      </c>
      <c r="J4" s="14">
        <v>80</v>
      </c>
      <c r="K4" s="15">
        <v>2</v>
      </c>
      <c r="L4" s="15" t="s">
        <v>31</v>
      </c>
      <c r="M4" s="15">
        <v>1</v>
      </c>
      <c r="N4" s="15">
        <v>80</v>
      </c>
      <c r="O4" s="15">
        <v>80</v>
      </c>
      <c r="P4" s="17">
        <v>2</v>
      </c>
      <c r="Q4" s="17" t="s">
        <v>31</v>
      </c>
      <c r="R4" s="17">
        <v>2</v>
      </c>
      <c r="S4" s="17">
        <v>160</v>
      </c>
      <c r="T4" s="17">
        <v>80</v>
      </c>
      <c r="U4" s="18">
        <v>2</v>
      </c>
      <c r="V4" s="18" t="s">
        <v>31</v>
      </c>
      <c r="W4" s="18">
        <v>3</v>
      </c>
      <c r="X4" s="18">
        <v>240</v>
      </c>
      <c r="Y4" s="18">
        <v>200</v>
      </c>
    </row>
    <row r="5" spans="1:25" x14ac:dyDescent="0.25">
      <c r="A5" s="13"/>
      <c r="B5" s="13"/>
      <c r="C5" s="13"/>
      <c r="D5" s="13"/>
      <c r="E5" s="13"/>
      <c r="F5" s="14"/>
      <c r="G5" s="14"/>
      <c r="H5" s="14"/>
      <c r="I5" s="14"/>
      <c r="J5" s="14"/>
      <c r="K5" s="15">
        <v>3</v>
      </c>
      <c r="L5" s="15" t="s">
        <v>33</v>
      </c>
      <c r="M5" s="15">
        <v>1</v>
      </c>
      <c r="N5" s="15">
        <v>700</v>
      </c>
      <c r="O5" s="15">
        <v>700</v>
      </c>
      <c r="P5" s="17">
        <v>3</v>
      </c>
      <c r="Q5" s="17" t="s">
        <v>33</v>
      </c>
      <c r="R5" s="17">
        <v>1</v>
      </c>
      <c r="S5" s="17">
        <v>700</v>
      </c>
      <c r="T5" s="17">
        <v>700</v>
      </c>
      <c r="U5" s="18">
        <v>3</v>
      </c>
      <c r="V5" s="18" t="s">
        <v>33</v>
      </c>
      <c r="W5" s="18">
        <v>1</v>
      </c>
      <c r="X5" s="18">
        <v>700</v>
      </c>
      <c r="Y5" s="18">
        <v>700</v>
      </c>
    </row>
    <row r="6" spans="1:25" x14ac:dyDescent="0.25">
      <c r="A6" s="13"/>
      <c r="B6" s="13"/>
      <c r="C6" s="13"/>
      <c r="D6" s="13"/>
      <c r="E6" s="13"/>
      <c r="F6" s="14"/>
      <c r="G6" s="14"/>
      <c r="H6" s="14"/>
      <c r="I6" s="14"/>
      <c r="J6" s="14"/>
      <c r="K6" s="15"/>
      <c r="L6" s="15"/>
      <c r="M6" s="15"/>
      <c r="N6" s="15"/>
      <c r="O6" s="15"/>
      <c r="P6" s="17"/>
      <c r="Q6" s="17"/>
      <c r="R6" s="17"/>
      <c r="S6" s="17"/>
      <c r="T6" s="17"/>
      <c r="U6" s="18"/>
      <c r="V6" s="18"/>
      <c r="W6" s="18"/>
      <c r="X6" s="18"/>
      <c r="Y6" s="18"/>
    </row>
    <row r="7" spans="1:25" x14ac:dyDescent="0.25">
      <c r="A7" s="13"/>
      <c r="B7" s="13"/>
      <c r="C7" s="13"/>
      <c r="D7" s="13"/>
      <c r="E7" s="13"/>
      <c r="F7" s="14"/>
      <c r="G7" s="14"/>
      <c r="H7" s="14"/>
      <c r="I7" s="14"/>
      <c r="J7" s="14"/>
      <c r="K7" s="15"/>
      <c r="L7" s="15"/>
      <c r="M7" s="15"/>
      <c r="N7" s="15"/>
      <c r="O7" s="15"/>
      <c r="P7" s="17"/>
      <c r="Q7" s="17"/>
      <c r="R7" s="17"/>
      <c r="S7" s="17"/>
      <c r="T7" s="17"/>
      <c r="U7" s="18"/>
      <c r="V7" s="18"/>
      <c r="W7" s="18"/>
      <c r="X7" s="18"/>
      <c r="Y7" s="18"/>
    </row>
    <row r="8" spans="1:25" x14ac:dyDescent="0.25">
      <c r="A8" s="13"/>
      <c r="B8" s="13"/>
      <c r="C8" s="13"/>
      <c r="D8" s="13"/>
      <c r="E8" s="13"/>
      <c r="F8" s="14"/>
      <c r="G8" s="14"/>
      <c r="H8" s="14"/>
      <c r="I8" s="14"/>
      <c r="J8" s="14"/>
      <c r="K8" s="15"/>
      <c r="L8" s="15"/>
      <c r="M8" s="15"/>
      <c r="N8" s="15"/>
      <c r="O8" s="15"/>
      <c r="P8" s="17"/>
      <c r="Q8" s="17"/>
      <c r="R8" s="17"/>
      <c r="S8" s="17"/>
      <c r="T8" s="17"/>
      <c r="U8" s="18"/>
      <c r="V8" s="18"/>
      <c r="W8" s="18"/>
      <c r="X8" s="18"/>
      <c r="Y8" s="18"/>
    </row>
    <row r="9" spans="1:25" x14ac:dyDescent="0.25">
      <c r="A9" s="13"/>
      <c r="B9" s="13"/>
      <c r="C9" s="13"/>
      <c r="D9" s="13"/>
      <c r="E9" s="13"/>
      <c r="F9" s="14"/>
      <c r="G9" s="14"/>
      <c r="H9" s="14"/>
      <c r="I9" s="14"/>
      <c r="J9" s="14"/>
      <c r="K9" s="15"/>
      <c r="L9" s="15"/>
      <c r="M9" s="15"/>
      <c r="N9" s="15"/>
      <c r="O9" s="15"/>
      <c r="P9" s="17"/>
      <c r="Q9" s="17"/>
      <c r="R9" s="17"/>
      <c r="S9" s="17"/>
      <c r="T9" s="17"/>
      <c r="U9" s="18"/>
      <c r="V9" s="18"/>
      <c r="W9" s="18"/>
      <c r="X9" s="18"/>
      <c r="Y9" s="18"/>
    </row>
    <row r="10" spans="1:25" x14ac:dyDescent="0.25">
      <c r="A10" s="91" t="s">
        <v>94</v>
      </c>
      <c r="B10" s="92"/>
      <c r="C10" s="93"/>
      <c r="D10" s="13"/>
      <c r="E10" s="13">
        <f>SUM(E3+E4+E5)</f>
        <v>415</v>
      </c>
      <c r="F10" s="88" t="s">
        <v>94</v>
      </c>
      <c r="G10" s="89"/>
      <c r="H10" s="90"/>
      <c r="I10" s="14"/>
      <c r="J10" s="50">
        <f>SUM(J3+J4+J5)</f>
        <v>750</v>
      </c>
      <c r="K10" s="85" t="s">
        <v>94</v>
      </c>
      <c r="L10" s="86"/>
      <c r="M10" s="87"/>
      <c r="N10" s="15"/>
      <c r="O10" s="15">
        <f>SUM(O3+O4+O5)</f>
        <v>1450</v>
      </c>
      <c r="P10" s="67" t="s">
        <v>94</v>
      </c>
      <c r="Q10" s="68"/>
      <c r="R10" s="69"/>
      <c r="S10" s="17"/>
      <c r="T10" s="17">
        <f>SUM(T3+T4+T5)</f>
        <v>2080</v>
      </c>
      <c r="U10" s="82" t="s">
        <v>94</v>
      </c>
      <c r="V10" s="83"/>
      <c r="W10" s="84"/>
      <c r="X10" s="18"/>
      <c r="Y10" s="18">
        <f>SUM(Y3+Y4+Y5)</f>
        <v>4100</v>
      </c>
    </row>
    <row r="11" spans="1:25" x14ac:dyDescent="0.25">
      <c r="A11" s="99" t="s">
        <v>95</v>
      </c>
      <c r="B11" s="100"/>
      <c r="C11" s="100"/>
      <c r="D11" s="101"/>
      <c r="E11" s="19">
        <v>500</v>
      </c>
      <c r="F11" s="99" t="s">
        <v>95</v>
      </c>
      <c r="G11" s="100"/>
      <c r="H11" s="100"/>
      <c r="I11" s="101"/>
      <c r="J11" s="19">
        <v>832</v>
      </c>
      <c r="K11" s="99" t="s">
        <v>96</v>
      </c>
      <c r="L11" s="100"/>
      <c r="M11" s="100"/>
      <c r="N11" s="101"/>
      <c r="O11" s="19">
        <v>1664</v>
      </c>
      <c r="P11" s="99" t="s">
        <v>95</v>
      </c>
      <c r="Q11" s="100"/>
      <c r="R11" s="100"/>
      <c r="S11" s="101"/>
      <c r="T11" s="19">
        <v>2412</v>
      </c>
      <c r="U11" s="99" t="s">
        <v>95</v>
      </c>
      <c r="V11" s="100"/>
      <c r="W11" s="100"/>
      <c r="X11" s="101"/>
      <c r="Y11" s="19">
        <v>4574</v>
      </c>
    </row>
    <row r="12" spans="1:25" x14ac:dyDescent="0.25">
      <c r="A12" s="19" t="s">
        <v>34</v>
      </c>
      <c r="B12" s="19"/>
      <c r="C12" s="19"/>
      <c r="D12" s="19"/>
      <c r="E12" s="51">
        <v>6</v>
      </c>
      <c r="F12" s="19" t="s">
        <v>34</v>
      </c>
      <c r="G12" s="19"/>
      <c r="H12" s="19"/>
      <c r="I12" s="19"/>
      <c r="J12" s="51">
        <v>10</v>
      </c>
      <c r="K12" s="19" t="s">
        <v>34</v>
      </c>
      <c r="L12" s="19"/>
      <c r="M12" s="19"/>
      <c r="N12" s="19"/>
      <c r="O12" s="51">
        <v>20</v>
      </c>
      <c r="P12" s="19" t="s">
        <v>34</v>
      </c>
      <c r="Q12" s="19"/>
      <c r="R12" s="19"/>
      <c r="S12" s="19"/>
      <c r="T12" s="51">
        <v>29</v>
      </c>
      <c r="U12" s="19" t="s">
        <v>34</v>
      </c>
      <c r="V12" s="19"/>
      <c r="W12" s="19"/>
      <c r="X12" s="19"/>
      <c r="Y12" s="51">
        <v>49.29</v>
      </c>
    </row>
    <row r="13" spans="1:25" x14ac:dyDescent="0.25">
      <c r="A13" s="1" t="s">
        <v>78</v>
      </c>
      <c r="B13" s="38">
        <v>0.12</v>
      </c>
      <c r="C13" s="1">
        <f>12%*E12</f>
        <v>0.72</v>
      </c>
      <c r="D13" s="1"/>
      <c r="E13" s="1"/>
      <c r="F13" s="1" t="s">
        <v>78</v>
      </c>
      <c r="G13" s="38">
        <v>0.12</v>
      </c>
      <c r="H13" s="1">
        <f>12%*J12</f>
        <v>1.2</v>
      </c>
      <c r="I13" s="1"/>
      <c r="J13" s="1"/>
      <c r="K13" s="1" t="s">
        <v>78</v>
      </c>
      <c r="L13" s="38">
        <v>0.12</v>
      </c>
      <c r="M13" s="1">
        <f>12%*O12</f>
        <v>2.4</v>
      </c>
      <c r="N13" s="1"/>
      <c r="O13" s="1"/>
      <c r="P13" s="1" t="s">
        <v>78</v>
      </c>
      <c r="Q13" s="38">
        <v>0.12</v>
      </c>
      <c r="R13" s="1">
        <f>12%*T12</f>
        <v>3.48</v>
      </c>
      <c r="S13" s="1"/>
      <c r="T13" s="1"/>
      <c r="U13" s="1" t="s">
        <v>78</v>
      </c>
      <c r="V13" s="38">
        <v>0.12</v>
      </c>
      <c r="W13" s="1">
        <f>12%*Y12</f>
        <v>5.9147999999999996</v>
      </c>
      <c r="X13" s="1"/>
      <c r="Y13" s="1"/>
    </row>
    <row r="14" spans="1:25" x14ac:dyDescent="0.25">
      <c r="A14" s="94" t="s">
        <v>90</v>
      </c>
      <c r="B14" s="95"/>
      <c r="C14" s="95"/>
      <c r="D14" s="96"/>
      <c r="E14" s="43">
        <f>SUM(C12:E13)</f>
        <v>6.72</v>
      </c>
      <c r="F14" s="94" t="s">
        <v>80</v>
      </c>
      <c r="G14" s="95"/>
      <c r="H14" s="95"/>
      <c r="I14" s="96"/>
      <c r="J14" s="43">
        <f>SUM(H12:J13)</f>
        <v>11.2</v>
      </c>
      <c r="K14" s="94" t="s">
        <v>80</v>
      </c>
      <c r="L14" s="95"/>
      <c r="M14" s="95"/>
      <c r="N14" s="96"/>
      <c r="O14" s="43">
        <f>SUM(M12:O13)</f>
        <v>22.4</v>
      </c>
      <c r="P14" s="94" t="s">
        <v>80</v>
      </c>
      <c r="Q14" s="95"/>
      <c r="R14" s="95"/>
      <c r="S14" s="96"/>
      <c r="T14" s="43">
        <f>SUM(R12:T13)</f>
        <v>32.479999999999997</v>
      </c>
      <c r="U14" s="94" t="s">
        <v>81</v>
      </c>
      <c r="V14" s="95"/>
      <c r="W14" s="95"/>
      <c r="X14" s="96"/>
      <c r="Y14" s="43">
        <f>SUM(W12:Y13)</f>
        <v>55.204799999999999</v>
      </c>
    </row>
    <row r="15" spans="1:25" ht="15" customHeight="1" x14ac:dyDescent="0.25">
      <c r="D15" s="39"/>
      <c r="E15" s="39"/>
      <c r="F15" s="39"/>
      <c r="G15" s="39"/>
      <c r="H15" s="39"/>
    </row>
    <row r="16" spans="1:25" x14ac:dyDescent="0.25">
      <c r="D16" s="39"/>
      <c r="E16" s="39"/>
      <c r="F16" s="39"/>
      <c r="G16" s="39"/>
      <c r="H16" s="39"/>
    </row>
    <row r="17" spans="4:9" x14ac:dyDescent="0.25">
      <c r="D17" s="39"/>
      <c r="E17" s="39"/>
      <c r="F17" s="39"/>
      <c r="G17" s="39"/>
      <c r="H17" s="39"/>
    </row>
    <row r="20" spans="4:9" x14ac:dyDescent="0.25">
      <c r="D20" s="70" t="s">
        <v>74</v>
      </c>
      <c r="E20" s="70"/>
      <c r="F20" s="70"/>
      <c r="G20" s="70"/>
    </row>
    <row r="21" spans="4:9" x14ac:dyDescent="0.25">
      <c r="D21" s="98" t="s">
        <v>79</v>
      </c>
      <c r="E21" s="98"/>
      <c r="F21" s="98"/>
      <c r="G21" s="98"/>
      <c r="H21" s="98"/>
    </row>
    <row r="22" spans="4:9" x14ac:dyDescent="0.25">
      <c r="D22" s="98"/>
      <c r="E22" s="98"/>
      <c r="F22" s="98"/>
      <c r="G22" s="98"/>
      <c r="H22" s="98"/>
    </row>
    <row r="23" spans="4:9" x14ac:dyDescent="0.25">
      <c r="D23" s="98"/>
      <c r="E23" s="98"/>
      <c r="F23" s="98"/>
      <c r="G23" s="98"/>
      <c r="H23" s="98"/>
    </row>
    <row r="24" spans="4:9" x14ac:dyDescent="0.25">
      <c r="D24" s="97" t="s">
        <v>91</v>
      </c>
      <c r="E24" s="97"/>
      <c r="F24" s="97"/>
      <c r="G24" s="97"/>
      <c r="H24" s="97"/>
    </row>
    <row r="25" spans="4:9" x14ac:dyDescent="0.25">
      <c r="D25" s="97"/>
      <c r="E25" s="97"/>
      <c r="F25" s="97"/>
      <c r="G25" s="97"/>
      <c r="H25" s="97"/>
      <c r="I25" s="40"/>
    </row>
    <row r="26" spans="4:9" x14ac:dyDescent="0.25">
      <c r="D26" s="97"/>
      <c r="E26" s="97"/>
      <c r="F26" s="97"/>
      <c r="G26" s="97"/>
      <c r="H26" s="97"/>
    </row>
  </sheetData>
  <mergeCells count="23">
    <mergeCell ref="A1:E1"/>
    <mergeCell ref="F1:J1"/>
    <mergeCell ref="K1:O1"/>
    <mergeCell ref="P1:T1"/>
    <mergeCell ref="U1:Y1"/>
    <mergeCell ref="A11:D11"/>
    <mergeCell ref="U11:X11"/>
    <mergeCell ref="P11:S11"/>
    <mergeCell ref="K11:N11"/>
    <mergeCell ref="F11:I11"/>
    <mergeCell ref="K14:N14"/>
    <mergeCell ref="P14:S14"/>
    <mergeCell ref="U14:X14"/>
    <mergeCell ref="D20:G20"/>
    <mergeCell ref="D24:H26"/>
    <mergeCell ref="D21:H23"/>
    <mergeCell ref="A14:D14"/>
    <mergeCell ref="F14:I14"/>
    <mergeCell ref="U10:W10"/>
    <mergeCell ref="P10:R10"/>
    <mergeCell ref="K10:M10"/>
    <mergeCell ref="F10:H10"/>
    <mergeCell ref="A10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5F2BB-93C5-4326-8C42-1DB449DAE3C1}">
  <dimension ref="A1:G20"/>
  <sheetViews>
    <sheetView topLeftCell="A7" zoomScale="80" zoomScaleNormal="80" workbookViewId="0">
      <selection activeCell="E20" sqref="E20"/>
    </sheetView>
  </sheetViews>
  <sheetFormatPr defaultRowHeight="15" x14ac:dyDescent="0.25"/>
  <cols>
    <col min="1" max="1" width="9.140625" style="6"/>
    <col min="2" max="2" width="38.28515625" style="6" customWidth="1"/>
    <col min="3" max="3" width="28" style="6" customWidth="1"/>
    <col min="4" max="4" width="29.140625" style="6" customWidth="1"/>
    <col min="5" max="5" width="20.42578125" style="6" customWidth="1"/>
    <col min="6" max="6" width="18.42578125" style="6" customWidth="1"/>
    <col min="7" max="7" width="63.5703125" style="6" customWidth="1"/>
  </cols>
  <sheetData>
    <row r="1" spans="1:7" x14ac:dyDescent="0.25">
      <c r="A1" s="106" t="s">
        <v>144</v>
      </c>
      <c r="B1" s="106"/>
      <c r="C1" s="106"/>
      <c r="D1" s="106"/>
      <c r="E1" s="106"/>
      <c r="F1" s="106"/>
      <c r="G1" s="106"/>
    </row>
    <row r="2" spans="1:7" x14ac:dyDescent="0.25">
      <c r="A2" s="56" t="s">
        <v>29</v>
      </c>
      <c r="B2" s="56" t="s">
        <v>103</v>
      </c>
      <c r="C2" s="56" t="s">
        <v>104</v>
      </c>
      <c r="D2" s="56" t="s">
        <v>105</v>
      </c>
      <c r="E2" s="56" t="s">
        <v>106</v>
      </c>
      <c r="F2" s="56" t="s">
        <v>109</v>
      </c>
      <c r="G2" s="56" t="s">
        <v>57</v>
      </c>
    </row>
    <row r="3" spans="1:7" x14ac:dyDescent="0.25">
      <c r="A3" s="44" t="s">
        <v>40</v>
      </c>
      <c r="B3" s="44" t="s">
        <v>107</v>
      </c>
      <c r="C3" s="54">
        <v>45422</v>
      </c>
      <c r="D3" s="54">
        <v>45432</v>
      </c>
      <c r="E3" s="44" t="s">
        <v>108</v>
      </c>
      <c r="F3" s="54">
        <v>45431</v>
      </c>
      <c r="G3" s="44" t="s">
        <v>139</v>
      </c>
    </row>
    <row r="4" spans="1:7" x14ac:dyDescent="0.25">
      <c r="A4" s="44" t="s">
        <v>110</v>
      </c>
      <c r="B4" s="44" t="s">
        <v>111</v>
      </c>
      <c r="C4" s="54">
        <v>45432</v>
      </c>
      <c r="D4" s="54">
        <v>45443</v>
      </c>
      <c r="E4" s="44" t="s">
        <v>108</v>
      </c>
      <c r="F4" s="54">
        <v>45442</v>
      </c>
      <c r="G4" s="44" t="s">
        <v>140</v>
      </c>
    </row>
    <row r="5" spans="1:7" x14ac:dyDescent="0.25">
      <c r="A5" s="44" t="s">
        <v>112</v>
      </c>
      <c r="B5" s="44" t="s">
        <v>113</v>
      </c>
      <c r="C5" s="54">
        <v>45443</v>
      </c>
      <c r="D5" s="54">
        <v>45444</v>
      </c>
      <c r="E5" s="44" t="s">
        <v>114</v>
      </c>
      <c r="F5" s="54">
        <v>45442</v>
      </c>
      <c r="G5" s="44" t="s">
        <v>141</v>
      </c>
    </row>
    <row r="6" spans="1:7" x14ac:dyDescent="0.25">
      <c r="A6" s="44" t="s">
        <v>115</v>
      </c>
      <c r="B6" s="44" t="s">
        <v>116</v>
      </c>
      <c r="C6" s="54">
        <v>45448</v>
      </c>
      <c r="D6" s="54">
        <v>45460</v>
      </c>
      <c r="E6" s="44" t="s">
        <v>133</v>
      </c>
      <c r="F6" s="44" t="s">
        <v>117</v>
      </c>
      <c r="G6" s="44"/>
    </row>
    <row r="7" spans="1:7" ht="30" x14ac:dyDescent="0.25">
      <c r="A7" s="44" t="s">
        <v>118</v>
      </c>
      <c r="B7" s="44" t="s">
        <v>119</v>
      </c>
      <c r="C7" s="54">
        <v>45454</v>
      </c>
      <c r="D7" s="54">
        <v>45466</v>
      </c>
      <c r="E7" s="44" t="s">
        <v>120</v>
      </c>
      <c r="F7" s="44" t="s">
        <v>117</v>
      </c>
      <c r="G7" s="57" t="s">
        <v>134</v>
      </c>
    </row>
    <row r="8" spans="1:7" ht="45" x14ac:dyDescent="0.25">
      <c r="A8" s="44" t="s">
        <v>48</v>
      </c>
      <c r="B8" s="44" t="s">
        <v>146</v>
      </c>
      <c r="C8" s="54">
        <v>45514</v>
      </c>
      <c r="D8" s="54" t="s">
        <v>117</v>
      </c>
      <c r="E8" s="44" t="s">
        <v>117</v>
      </c>
      <c r="F8" s="44" t="s">
        <v>117</v>
      </c>
      <c r="G8" s="57" t="s">
        <v>148</v>
      </c>
    </row>
    <row r="9" spans="1:7" ht="45" x14ac:dyDescent="0.25">
      <c r="A9" s="44" t="s">
        <v>52</v>
      </c>
      <c r="B9" s="44" t="s">
        <v>132</v>
      </c>
      <c r="C9" s="54">
        <v>45519</v>
      </c>
      <c r="D9" s="54" t="s">
        <v>117</v>
      </c>
      <c r="E9" s="44" t="s">
        <v>117</v>
      </c>
      <c r="F9" s="44" t="s">
        <v>117</v>
      </c>
      <c r="G9" s="57" t="s">
        <v>142</v>
      </c>
    </row>
    <row r="10" spans="1:7" ht="30" x14ac:dyDescent="0.25">
      <c r="A10" s="44" t="s">
        <v>66</v>
      </c>
      <c r="B10" s="55" t="s">
        <v>221</v>
      </c>
      <c r="C10" s="54">
        <v>45519</v>
      </c>
      <c r="D10" s="54">
        <v>45521</v>
      </c>
      <c r="E10" s="44" t="s">
        <v>117</v>
      </c>
      <c r="F10" s="44" t="s">
        <v>117</v>
      </c>
      <c r="G10" s="57" t="s">
        <v>135</v>
      </c>
    </row>
    <row r="11" spans="1:7" x14ac:dyDescent="0.25">
      <c r="A11" s="44" t="s">
        <v>69</v>
      </c>
      <c r="B11" s="44" t="s">
        <v>136</v>
      </c>
      <c r="C11" s="54">
        <v>45521</v>
      </c>
      <c r="D11" s="54">
        <v>45522</v>
      </c>
      <c r="E11" s="44" t="s">
        <v>117</v>
      </c>
      <c r="F11" s="44" t="s">
        <v>117</v>
      </c>
      <c r="G11" s="44"/>
    </row>
    <row r="12" spans="1:7" x14ac:dyDescent="0.25">
      <c r="A12" s="44"/>
      <c r="B12" s="44" t="s">
        <v>147</v>
      </c>
      <c r="C12" s="54">
        <v>45521</v>
      </c>
      <c r="D12" s="54" t="s">
        <v>117</v>
      </c>
      <c r="E12" s="44" t="s">
        <v>117</v>
      </c>
      <c r="F12" s="44" t="s">
        <v>117</v>
      </c>
      <c r="G12" s="55" t="s">
        <v>153</v>
      </c>
    </row>
    <row r="13" spans="1:7" ht="30" x14ac:dyDescent="0.25">
      <c r="A13" s="44" t="s">
        <v>70</v>
      </c>
      <c r="B13" s="44" t="s">
        <v>121</v>
      </c>
      <c r="C13" s="44" t="s">
        <v>122</v>
      </c>
      <c r="D13" s="44" t="s">
        <v>123</v>
      </c>
      <c r="E13" s="44" t="s">
        <v>117</v>
      </c>
      <c r="F13" s="44" t="s">
        <v>117</v>
      </c>
      <c r="G13" s="55" t="s">
        <v>155</v>
      </c>
    </row>
    <row r="14" spans="1:7" x14ac:dyDescent="0.25">
      <c r="A14" s="44" t="s">
        <v>71</v>
      </c>
      <c r="B14" s="44" t="s">
        <v>124</v>
      </c>
      <c r="C14" s="44" t="s">
        <v>125</v>
      </c>
      <c r="D14" s="44" t="s">
        <v>126</v>
      </c>
      <c r="E14" s="44" t="s">
        <v>117</v>
      </c>
      <c r="F14" s="44" t="s">
        <v>117</v>
      </c>
      <c r="G14" s="57" t="s">
        <v>137</v>
      </c>
    </row>
    <row r="15" spans="1:7" ht="30" x14ac:dyDescent="0.25">
      <c r="A15" s="44" t="s">
        <v>75</v>
      </c>
      <c r="B15" s="44" t="s">
        <v>127</v>
      </c>
      <c r="C15" s="44" t="s">
        <v>128</v>
      </c>
      <c r="D15" s="54" t="s">
        <v>129</v>
      </c>
      <c r="E15" s="44" t="s">
        <v>117</v>
      </c>
      <c r="F15" s="44" t="s">
        <v>117</v>
      </c>
      <c r="G15" s="57" t="s">
        <v>138</v>
      </c>
    </row>
    <row r="16" spans="1:7" x14ac:dyDescent="0.25">
      <c r="A16" s="44" t="s">
        <v>92</v>
      </c>
      <c r="B16" s="44" t="s">
        <v>130</v>
      </c>
      <c r="C16" s="44" t="s">
        <v>131</v>
      </c>
      <c r="D16" s="54" t="s">
        <v>117</v>
      </c>
      <c r="E16" s="44" t="s">
        <v>117</v>
      </c>
      <c r="F16" s="44" t="s">
        <v>117</v>
      </c>
      <c r="G16" s="57" t="s">
        <v>143</v>
      </c>
    </row>
    <row r="18" spans="2:5" ht="15" customHeight="1" x14ac:dyDescent="0.25">
      <c r="B18" s="107" t="s">
        <v>154</v>
      </c>
      <c r="C18" s="107"/>
      <c r="D18" s="107"/>
      <c r="E18" s="107"/>
    </row>
    <row r="20" spans="2:5" ht="60" x14ac:dyDescent="0.25">
      <c r="C20" s="58" t="s">
        <v>222</v>
      </c>
      <c r="D20" s="117" t="s">
        <v>223</v>
      </c>
      <c r="E20" s="118" t="s">
        <v>224</v>
      </c>
    </row>
  </sheetData>
  <mergeCells count="2">
    <mergeCell ref="A1:G1"/>
    <mergeCell ref="B18:E18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9CA5-947C-4B4D-9569-A1575B8AAC25}">
  <dimension ref="A2:H17"/>
  <sheetViews>
    <sheetView tabSelected="1" topLeftCell="A4" workbookViewId="0">
      <selection activeCell="H11" sqref="H11"/>
    </sheetView>
  </sheetViews>
  <sheetFormatPr defaultRowHeight="15" x14ac:dyDescent="0.25"/>
  <cols>
    <col min="1" max="1" width="21.7109375" customWidth="1"/>
    <col min="2" max="2" width="37.42578125" customWidth="1"/>
    <col min="3" max="3" width="29.140625" customWidth="1"/>
    <col min="4" max="4" width="27.7109375" customWidth="1"/>
    <col min="5" max="5" width="28" customWidth="1"/>
    <col min="8" max="8" width="11.5703125" customWidth="1"/>
  </cols>
  <sheetData>
    <row r="2" spans="1:8" x14ac:dyDescent="0.25">
      <c r="A2" s="62" t="s">
        <v>158</v>
      </c>
      <c r="B2" s="62" t="s">
        <v>30</v>
      </c>
      <c r="C2" s="62" t="s">
        <v>159</v>
      </c>
      <c r="D2" s="62" t="s">
        <v>160</v>
      </c>
      <c r="E2" s="62" t="s">
        <v>161</v>
      </c>
    </row>
    <row r="3" spans="1:8" x14ac:dyDescent="0.25">
      <c r="A3" s="50" t="s">
        <v>162</v>
      </c>
      <c r="B3" s="1" t="s">
        <v>163</v>
      </c>
      <c r="C3" s="1" t="s">
        <v>164</v>
      </c>
      <c r="D3" s="1" t="s">
        <v>165</v>
      </c>
      <c r="E3" s="1" t="s">
        <v>166</v>
      </c>
    </row>
    <row r="4" spans="1:8" x14ac:dyDescent="0.25">
      <c r="A4" s="50" t="s">
        <v>167</v>
      </c>
      <c r="B4" s="1" t="s">
        <v>168</v>
      </c>
      <c r="C4" s="1" t="s">
        <v>169</v>
      </c>
      <c r="D4" s="1" t="s">
        <v>168</v>
      </c>
      <c r="E4" s="1" t="s">
        <v>169</v>
      </c>
    </row>
    <row r="5" spans="1:8" x14ac:dyDescent="0.25">
      <c r="A5" s="50" t="s">
        <v>212</v>
      </c>
      <c r="B5" s="1" t="s">
        <v>213</v>
      </c>
      <c r="C5" s="1" t="s">
        <v>214</v>
      </c>
      <c r="D5" s="1" t="s">
        <v>214</v>
      </c>
      <c r="E5" s="1" t="s">
        <v>215</v>
      </c>
    </row>
    <row r="6" spans="1:8" x14ac:dyDescent="0.25">
      <c r="A6" s="50" t="s">
        <v>170</v>
      </c>
      <c r="B6" s="13" t="s">
        <v>171</v>
      </c>
      <c r="C6" s="19" t="s">
        <v>172</v>
      </c>
      <c r="D6" s="108" t="s">
        <v>195</v>
      </c>
      <c r="E6" s="108" t="s">
        <v>196</v>
      </c>
    </row>
    <row r="7" spans="1:8" x14ac:dyDescent="0.25">
      <c r="A7" s="50" t="s">
        <v>173</v>
      </c>
      <c r="B7" s="19" t="s">
        <v>174</v>
      </c>
      <c r="C7" s="19" t="s">
        <v>174</v>
      </c>
      <c r="D7" s="108" t="s">
        <v>175</v>
      </c>
      <c r="E7" s="108" t="s">
        <v>184</v>
      </c>
    </row>
    <row r="8" spans="1:8" x14ac:dyDescent="0.25">
      <c r="A8" s="50" t="s">
        <v>176</v>
      </c>
      <c r="B8" s="19" t="s">
        <v>177</v>
      </c>
      <c r="C8" s="13" t="s">
        <v>178</v>
      </c>
      <c r="D8" s="108" t="s">
        <v>179</v>
      </c>
      <c r="E8" s="108" t="s">
        <v>180</v>
      </c>
      <c r="G8" s="71" t="s">
        <v>225</v>
      </c>
      <c r="H8" s="71"/>
    </row>
    <row r="9" spans="1:8" x14ac:dyDescent="0.25">
      <c r="A9" s="50" t="s">
        <v>181</v>
      </c>
      <c r="B9" s="13" t="s">
        <v>187</v>
      </c>
      <c r="C9" s="19" t="s">
        <v>182</v>
      </c>
      <c r="D9" s="19" t="s">
        <v>203</v>
      </c>
      <c r="E9" s="108" t="s">
        <v>204</v>
      </c>
      <c r="G9" s="19"/>
      <c r="H9" s="119" t="s">
        <v>226</v>
      </c>
    </row>
    <row r="10" spans="1:8" x14ac:dyDescent="0.25">
      <c r="A10" s="50" t="s">
        <v>183</v>
      </c>
      <c r="B10" s="19" t="s">
        <v>174</v>
      </c>
      <c r="C10" s="19" t="s">
        <v>174</v>
      </c>
      <c r="D10" s="108" t="s">
        <v>175</v>
      </c>
      <c r="E10" s="108" t="s">
        <v>184</v>
      </c>
      <c r="G10" s="13"/>
      <c r="H10" s="1" t="s">
        <v>227</v>
      </c>
    </row>
    <row r="11" spans="1:8" x14ac:dyDescent="0.25">
      <c r="A11" s="50" t="s">
        <v>216</v>
      </c>
      <c r="B11" s="19" t="s">
        <v>202</v>
      </c>
      <c r="C11" s="19" t="s">
        <v>185</v>
      </c>
      <c r="D11" s="108" t="s">
        <v>175</v>
      </c>
      <c r="E11" s="108" t="s">
        <v>184</v>
      </c>
      <c r="G11" s="108"/>
      <c r="H11" s="119" t="s">
        <v>228</v>
      </c>
    </row>
    <row r="12" spans="1:8" ht="30" x14ac:dyDescent="0.25">
      <c r="A12" s="113" t="s">
        <v>205</v>
      </c>
      <c r="B12" s="19" t="s">
        <v>174</v>
      </c>
      <c r="C12" s="19" t="s">
        <v>174</v>
      </c>
      <c r="D12" s="108" t="s">
        <v>184</v>
      </c>
      <c r="E12" s="108" t="s">
        <v>184</v>
      </c>
    </row>
    <row r="13" spans="1:8" x14ac:dyDescent="0.25">
      <c r="A13" s="50" t="s">
        <v>186</v>
      </c>
      <c r="B13" s="19" t="s">
        <v>200</v>
      </c>
      <c r="C13" s="108" t="s">
        <v>184</v>
      </c>
      <c r="D13" s="108" t="s">
        <v>175</v>
      </c>
      <c r="E13" s="108" t="s">
        <v>184</v>
      </c>
    </row>
    <row r="14" spans="1:8" ht="45" x14ac:dyDescent="0.25">
      <c r="A14" s="50" t="s">
        <v>119</v>
      </c>
      <c r="B14" s="63" t="s">
        <v>188</v>
      </c>
      <c r="C14" s="109" t="s">
        <v>189</v>
      </c>
      <c r="D14" s="110" t="s">
        <v>199</v>
      </c>
      <c r="E14" s="110" t="s">
        <v>190</v>
      </c>
    </row>
    <row r="15" spans="1:8" ht="30" x14ac:dyDescent="0.25">
      <c r="A15" s="50" t="s">
        <v>191</v>
      </c>
      <c r="B15" s="19" t="s">
        <v>192</v>
      </c>
      <c r="C15" s="13" t="s">
        <v>206</v>
      </c>
      <c r="D15" s="13" t="s">
        <v>194</v>
      </c>
      <c r="E15" s="110" t="s">
        <v>193</v>
      </c>
    </row>
    <row r="16" spans="1:8" x14ac:dyDescent="0.25">
      <c r="A16" s="50" t="s">
        <v>201</v>
      </c>
      <c r="B16" s="111" t="s">
        <v>207</v>
      </c>
      <c r="C16" s="111" t="s">
        <v>208</v>
      </c>
      <c r="D16" s="111" t="s">
        <v>209</v>
      </c>
      <c r="E16" s="111" t="s">
        <v>210</v>
      </c>
      <c r="F16" t="s">
        <v>211</v>
      </c>
    </row>
    <row r="17" spans="1:5" x14ac:dyDescent="0.25">
      <c r="A17" s="50" t="s">
        <v>4</v>
      </c>
      <c r="B17" s="114">
        <v>4.03</v>
      </c>
      <c r="C17" s="115">
        <v>4.68</v>
      </c>
      <c r="D17" s="114">
        <v>3.21</v>
      </c>
      <c r="E17" s="116">
        <v>1.43</v>
      </c>
    </row>
  </sheetData>
  <mergeCells count="1">
    <mergeCell ref="G8:H8"/>
  </mergeCells>
  <hyperlinks>
    <hyperlink ref="B16" r:id="rId1" display="https://atrivatech.com/munico-32/" xr:uid="{FAC36CCB-BDA3-40A1-BADA-B9DEB4A33485}"/>
    <hyperlink ref="C16" r:id="rId2" display="https://github.com/AlexanderMandera/CH32V003-USB-DevBoard" xr:uid="{F0292129-D9E4-4716-AC94-52B39C8131CA}"/>
    <hyperlink ref="D16" r:id="rId3" display="https://www.aliexpress.com/item/1005005269690018.html?spm=a2g0o.productlist.main.3.628d5a3cNK9ASw&amp;algo_pvid=930b49bf-fc70-48f8-b379-4d85945a0b4b&amp;algo_exp_id=930b49bf-fc70-48f8-b379-4d85945a0b4b-1&amp;pdp_npi=4%40dis%21USD%2112.90%2111.52%21%21%2112.90%2111.52%21%402102f6cb17215050698754585ecb2c%2112000034322275708%21sea%21SG%214171744163%21AB&amp;curPageLogUid=853ptxlwYS25&amp;utparam-url=scene%3Asearch%7Cquery_from%3A" xr:uid="{AF0831BD-A1F5-4CD6-AC77-06CB027C53A8}"/>
    <hyperlink ref="E16" r:id="rId4" display="https://robu.in/product/weact-studio-ch32v003f4u6-risc-v-low-power-core-demo-board/" xr:uid="{43CA72AC-B99B-4FC9-B915-F4B163A304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BOM-muNico</vt:lpstr>
      <vt:lpstr>muNico Cost split</vt:lpstr>
      <vt:lpstr>Cost Allocation</vt:lpstr>
      <vt:lpstr>Bundles </vt:lpstr>
      <vt:lpstr>Timeline</vt:lpstr>
      <vt:lpstr>differentiation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Ravi</dc:creator>
  <cp:lastModifiedBy>Atul Ravi</cp:lastModifiedBy>
  <dcterms:created xsi:type="dcterms:W3CDTF">2024-05-21T11:27:46Z</dcterms:created>
  <dcterms:modified xsi:type="dcterms:W3CDTF">2024-07-20T20:17:03Z</dcterms:modified>
</cp:coreProperties>
</file>